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hidePivotFieldList="1" defaultThemeVersion="166925"/>
  <xr:revisionPtr revIDLastSave="0" documentId="8_{DF94C50D-92D8-4496-8291-341F737875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-data" sheetId="2" r:id="rId1"/>
  </sheets>
  <calcPr calcId="191028"/>
  <pivotCaches>
    <pivotCache cacheId="764" r:id="rId2"/>
    <pivotCache cacheId="765" r:id="rId3"/>
    <pivotCache cacheId="766" r:id="rId4"/>
    <pivotCache cacheId="76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2" i="2" l="1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41" i="2"/>
  <c r="B138" i="2"/>
  <c r="B108" i="2"/>
  <c r="H115" i="2"/>
  <c r="C136" i="2"/>
  <c r="C68" i="2"/>
  <c r="C69" i="2"/>
  <c r="C70" i="2"/>
  <c r="C71" i="2"/>
  <c r="C72" i="2"/>
  <c r="C73" i="2"/>
  <c r="C74" i="2"/>
  <c r="C75" i="2"/>
  <c r="C76" i="2"/>
  <c r="C77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81" i="2"/>
  <c r="C82" i="2"/>
  <c r="C83" i="2"/>
  <c r="C53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11" i="2"/>
  <c r="I22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B81" i="2" a="1"/>
  <c r="B81" i="2"/>
  <c r="I44" i="2"/>
  <c r="I45" i="2"/>
  <c r="I4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23" i="2"/>
  <c r="B50" i="2" l="1"/>
  <c r="I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<sst xmlns="http://schemas.openxmlformats.org/spreadsheetml/2006/main" count="246" uniqueCount="64">
  <si>
    <t>Project Title : Sales Performance Dashboard in Excel</t>
  </si>
  <si>
    <t xml:space="preserve"> </t>
  </si>
  <si>
    <t>Analyze sales data to identify trends , top-performing products and regional performance.</t>
  </si>
  <si>
    <t>Tools used :</t>
  </si>
  <si>
    <t xml:space="preserve">Microsoft Excel </t>
  </si>
  <si>
    <t xml:space="preserve">Pivot Tables </t>
  </si>
  <si>
    <t xml:space="preserve">Charts </t>
  </si>
  <si>
    <t>Slicers</t>
  </si>
  <si>
    <t>Xlookup</t>
  </si>
  <si>
    <t xml:space="preserve">Conditional Formatting </t>
  </si>
  <si>
    <t>Questions :</t>
  </si>
  <si>
    <t>1. What is the total sales revenue?</t>
  </si>
  <si>
    <t>2.Which product generated the highest sales?</t>
  </si>
  <si>
    <t>3.Which region performs best?</t>
  </si>
  <si>
    <t>4.What are monthly sales trends?</t>
  </si>
  <si>
    <t>5.Which salesperson has the highest revenue?</t>
  </si>
  <si>
    <t>6.Which category contributes the most profit?</t>
  </si>
  <si>
    <t>DATA:;</t>
  </si>
  <si>
    <t xml:space="preserve">ORDER ID </t>
  </si>
  <si>
    <t>DATE</t>
  </si>
  <si>
    <t>PRODUCT</t>
  </si>
  <si>
    <t xml:space="preserve">CATERGORY </t>
  </si>
  <si>
    <t>QUANTITY</t>
  </si>
  <si>
    <t xml:space="preserve">SALESPERSON </t>
  </si>
  <si>
    <t>REGION</t>
  </si>
  <si>
    <t>UNIT_PRICE</t>
  </si>
  <si>
    <t>TOTAL_SALE</t>
  </si>
  <si>
    <t>Laptop</t>
  </si>
  <si>
    <t>Electronics</t>
  </si>
  <si>
    <t>Rahul</t>
  </si>
  <si>
    <t>North</t>
  </si>
  <si>
    <t xml:space="preserve">Mobile </t>
  </si>
  <si>
    <t>Varun</t>
  </si>
  <si>
    <t>West</t>
  </si>
  <si>
    <t xml:space="preserve">Television </t>
  </si>
  <si>
    <t>South</t>
  </si>
  <si>
    <t>Priya</t>
  </si>
  <si>
    <t>Teena</t>
  </si>
  <si>
    <t>East</t>
  </si>
  <si>
    <t>Chair</t>
  </si>
  <si>
    <t>Furniture</t>
  </si>
  <si>
    <t>Riya</t>
  </si>
  <si>
    <t xml:space="preserve">Watch </t>
  </si>
  <si>
    <t>Table</t>
  </si>
  <si>
    <t>Smart watch</t>
  </si>
  <si>
    <t>Nia</t>
  </si>
  <si>
    <t>Jiya</t>
  </si>
  <si>
    <t>Bed</t>
  </si>
  <si>
    <t>Computer</t>
  </si>
  <si>
    <t>Somya</t>
  </si>
  <si>
    <t>Saurabh</t>
  </si>
  <si>
    <t>PRODUCT GENERATES HIGHEST SALES:</t>
  </si>
  <si>
    <t>TOTAL_SALES</t>
  </si>
  <si>
    <t>Count of TOTAL_SALES</t>
  </si>
  <si>
    <t>Grand Total</t>
  </si>
  <si>
    <t>MONTHLY SALES TREND</t>
  </si>
  <si>
    <t>MONTH</t>
  </si>
  <si>
    <t>Sum of TOTAL_SALE</t>
  </si>
  <si>
    <t>Apr-2026</t>
  </si>
  <si>
    <t>Jun-2026</t>
  </si>
  <si>
    <t>May-2026</t>
  </si>
  <si>
    <t>SALESPERSON HAVE HIGHEST REVENUE</t>
  </si>
  <si>
    <t>CATERGORY CONTRIBUTES THE MOST PROFIT:</t>
  </si>
  <si>
    <t>REGIONS PERFROM BEST: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</si>
</sst>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>
    <font>
      <sz val="11"/>
      <color theme="1"/>
      <name val="Calibri"/>
      <family val="2"/>
      <scheme val="minor"/>
    </font>
    <font>
      <b/>
      <sz val="24"/>
      <color rgb="FFC00000"/>
      <name val="Calibri"/>
      <scheme val="minor"/>
    </font>
    <font>
      <sz val="11"/>
      <color rgb="FFC65911"/>
      <name val="Calibri"/>
      <scheme val="minor"/>
    </font>
    <font>
      <b/>
      <sz val="11"/>
      <color rgb="FFA9D08E"/>
      <name val="Calibri"/>
      <scheme val="minor"/>
    </font>
    <font>
      <b/>
      <sz val="11"/>
      <color rgb="FFC6591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24"/>
      <color rgb="FFC00000"/>
      <name val="Calibri"/>
      <charset val="1"/>
    </font>
    <font>
      <b/>
      <sz val="11"/>
      <color rgb="FF2F75B5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2.xlsx]sales-data!PivotTable1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'sales-data'!$F$80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'sales-data'!$E$81:$E$84</c:f>
              <c:strCache>
                <c:ptCount val="3"/>
                <c:pt idx="0">
                  <c:v>Apr-2026</c:v>
                </c:pt>
                <c:pt idx="1">
                  <c:v>Jun-2026</c:v>
                </c:pt>
                <c:pt idx="2">
                  <c:v>May-2026</c:v>
                </c:pt>
              </c:strCache>
            </c:strRef>
          </c:cat>
          <c:val>
            <c:numRef>
              <c:f>'sales-data'!$F$81:$F$84</c:f>
              <c:numCache>
                <c:formatCode>General</c:formatCode>
                <c:ptCount val="3"/>
                <c:pt idx="0">
                  <c:v>447100</c:v>
                </c:pt>
                <c:pt idx="1">
                  <c:v>33300</c:v>
                </c:pt>
                <c:pt idx="2">
                  <c:v>373700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11-435B-93E3-A08A0F71A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73160"/>
        <c:axId val="589153799"/>
      </c:lineChart>
      <c:catAx>
        <c:axId val="1562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53799"/>
        <c:crosses val="autoZero"/>
        <c:auto val="1"/>
        <c:lblAlgn val="ctr"/>
        <c:lblOffset val="100"/>
        <c:noMultiLvlLbl val="0"/>
      </c:catAx>
      <c:valAx>
        <c:axId val="58915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D0D0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2.xlsx]sales-data!PivotTable2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'sales-data'!$F$110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98-4987-81F4-E48565150D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98-4987-81F4-E48565150D6F}"/>
              </c:ext>
            </c:extLst>
          </c:dPt>
          <c:cat>
            <c:strRef>
              <c:f>'sales-data'!$E$111:$E$113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'sales-data'!$F$111:$F$113</c:f>
              <c:numCache>
                <c:formatCode>General</c:formatCode>
                <c:ptCount val="2"/>
                <c:pt idx="0">
                  <c:v>837000</c:v>
                </c:pt>
                <c:pt idx="1">
                  <c:v>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9-4759-AA85-A82A05A87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2.xlsx]sales-data!PivotTable3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'sales-data'!$F$58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'sales-data'!$E$59:$E$68</c:f>
              <c:strCache>
                <c:ptCount val="9"/>
                <c:pt idx="0">
                  <c:v>Bed</c:v>
                </c:pt>
                <c:pt idx="1">
                  <c:v>Chair</c:v>
                </c:pt>
                <c:pt idx="2">
                  <c:v>Laptop</c:v>
                </c:pt>
                <c:pt idx="3">
                  <c:v>Mobile </c:v>
                </c:pt>
                <c:pt idx="4">
                  <c:v>PRODUCT</c:v>
                </c:pt>
                <c:pt idx="5">
                  <c:v>Smart watch</c:v>
                </c:pt>
                <c:pt idx="6">
                  <c:v>Table</c:v>
                </c:pt>
                <c:pt idx="7">
                  <c:v>Television </c:v>
                </c:pt>
                <c:pt idx="8">
                  <c:v>Watch </c:v>
                </c:pt>
              </c:strCache>
            </c:strRef>
          </c:cat>
          <c:val>
            <c:numRef>
              <c:f>'sales-data'!$F$59:$F$68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9E-4BD7-AEE3-5523317D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8282376"/>
        <c:axId val="1667818503"/>
      </c:barChart>
      <c:catAx>
        <c:axId val="46828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18503"/>
        <c:crosses val="autoZero"/>
        <c:auto val="1"/>
        <c:lblAlgn val="ctr"/>
        <c:lblOffset val="100"/>
        <c:noMultiLvlLbl val="0"/>
      </c:catAx>
      <c:valAx>
        <c:axId val="166781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8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2.xlsx]sales-data!PivotTable4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'sales-data'!$F$141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'sales-data'!$E$142:$E$146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'sales-data'!$F$142:$F$146</c:f>
              <c:numCache>
                <c:formatCode>General</c:formatCode>
                <c:ptCount val="4"/>
                <c:pt idx="0">
                  <c:v>141200</c:v>
                </c:pt>
                <c:pt idx="1">
                  <c:v>378800</c:v>
                </c:pt>
                <c:pt idx="2">
                  <c:v>193500</c:v>
                </c:pt>
                <c:pt idx="3">
                  <c:v>140600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E-4C37-BE8E-48A52FD35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340167"/>
        <c:axId val="1667781127"/>
      </c:barChart>
      <c:catAx>
        <c:axId val="1653340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781127"/>
        <c:crosses val="autoZero"/>
        <c:auto val="1"/>
        <c:lblAlgn val="ctr"/>
        <c:lblOffset val="100"/>
        <c:noMultiLvlLbl val="0"/>
      </c:catAx>
      <c:valAx>
        <c:axId val="166778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4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85</xdr:row>
      <xdr:rowOff>171450</xdr:rowOff>
    </xdr:from>
    <xdr:to>
      <xdr:col>8</xdr:col>
      <xdr:colOff>400050</xdr:colOff>
      <xdr:row>100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A5C9D-3FF0-1DCB-E42F-B0D58A8ED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117</xdr:row>
      <xdr:rowOff>85725</xdr:rowOff>
    </xdr:from>
    <xdr:to>
      <xdr:col>7</xdr:col>
      <xdr:colOff>190500</xdr:colOff>
      <xdr:row>127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5DA8C-61A3-01D2-5902-0F9415913C68}"/>
            </a:ext>
            <a:ext uri="{147F2762-F138-4A5C-976F-8EAC2B608ADB}">
              <a16:predDERef xmlns:a16="http://schemas.microsoft.com/office/drawing/2014/main" pred="{E64A5C9D-3FF0-1DCB-E42F-B0D58A8ED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571500</xdr:colOff>
      <xdr:row>57</xdr:row>
      <xdr:rowOff>171450</xdr:rowOff>
    </xdr:from>
    <xdr:to>
      <xdr:col>13</xdr:col>
      <xdr:colOff>28575</xdr:colOff>
      <xdr:row>72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6DFE9E-D621-D988-57E0-EFFD6FBF2FD6}"/>
            </a:ext>
            <a:ext uri="{147F2762-F138-4A5C-976F-8EAC2B608ADB}">
              <a16:predDERef xmlns:a16="http://schemas.microsoft.com/office/drawing/2014/main" pred="{4D25DA8C-61A3-01D2-5902-0F9415913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600075</xdr:colOff>
      <xdr:row>148</xdr:row>
      <xdr:rowOff>161925</xdr:rowOff>
    </xdr:from>
    <xdr:to>
      <xdr:col>8</xdr:col>
      <xdr:colOff>628650</xdr:colOff>
      <xdr:row>163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AEB4AA-B881-CF94-F64E-6D170B85139E}"/>
            </a:ext>
            <a:ext uri="{147F2762-F138-4A5C-976F-8EAC2B608ADB}">
              <a16:predDERef xmlns:a16="http://schemas.microsoft.com/office/drawing/2014/main" pred="{FA6DFE9E-D621-D988-57E0-EFFD6FBF2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647189351854" createdVersion="8" refreshedVersion="8" minRefreshableVersion="3" recordCount="25" xr:uid="{2AA36555-D4CC-4A98-A53C-41A3A4E05120}">
  <cacheSource type="worksheet">
    <worksheetSource ref="B80:C105" sheet="sales-data"/>
  </cacheSource>
  <cacheFields count="2">
    <cacheField name="MONTH" numFmtId="0">
      <sharedItems count="3">
        <s v="Apr-2026"/>
        <s v="May-2026"/>
        <s v="Jun-2026"/>
      </sharedItems>
    </cacheField>
    <cacheField name="TOTAL_SALE" numFmtId="0">
      <sharedItems containsSemiMixedTypes="0" containsString="0" containsNumber="1" containsInteger="1" minValue="300" maxValue="150000"/>
    </cacheField>
  </cacheFields>
  <extLst>
    <ext xmlns:x14="http://schemas.microsoft.com/office/spreadsheetml/2009/9/main" uri="{725AE2AE-9491-48be-B2B4-4EB974FC3084}">
      <x14:pivotCacheDefinition pivotCacheId="10552077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65674189815" createdVersion="8" refreshedVersion="8" minRefreshableVersion="3" recordCount="25" xr:uid="{5A9DB4E5-CBBF-4214-8819-352DB262CC53}">
  <cacheSource type="worksheet">
    <worksheetSource ref="B110:C135" sheet="sales-data"/>
  </cacheSource>
  <cacheFields count="2">
    <cacheField name="CATERGORY " numFmtId="0">
      <sharedItems count="2">
        <s v="Electronics"/>
        <s v="Furniture"/>
      </sharedItems>
    </cacheField>
    <cacheField name="TOTAL_SALE" numFmtId="0">
      <sharedItems containsSemiMixedTypes="0" containsString="0" containsNumber="1" containsInteger="1" minValue="3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67703958333" createdVersion="8" refreshedVersion="8" minRefreshableVersion="3" recordCount="25" xr:uid="{226B3BC7-56D9-41A0-B802-172F9DA41D0D}">
  <cacheSource type="worksheet">
    <worksheetSource ref="B52:C77" sheet="sales-data"/>
  </cacheSource>
  <cacheFields count="2">
    <cacheField name="PRODUCT" numFmtId="0">
      <sharedItems count="9">
        <s v="Laptop"/>
        <s v="Mobile "/>
        <s v="Television "/>
        <s v="Chair"/>
        <s v="Watch "/>
        <s v="Table"/>
        <s v="Smart watch"/>
        <s v="Bed"/>
        <s v="PRODUCT"/>
      </sharedItems>
    </cacheField>
    <cacheField name="TOTAL_SALES" numFmtId="0">
      <sharedItems containsMixedTypes="1" containsNumber="1" containsInteger="1" minValue="300" maxValue="150000" count="17">
        <n v="100000"/>
        <n v="12000"/>
        <n v="40000"/>
        <n v="20000"/>
        <n v="1200"/>
        <n v="1500"/>
        <n v="6000"/>
        <n v="2400"/>
        <n v="3500"/>
        <n v="3000"/>
        <s v="TOTAL_SALES"/>
        <n v="120000"/>
        <n v="150000"/>
        <n v="80000"/>
        <n v="4000"/>
        <n v="9000"/>
        <n v="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688194560185" createdVersion="8" refreshedVersion="8" minRefreshableVersion="3" recordCount="25" xr:uid="{B81EC19F-2FB6-4D17-B312-2B1921876FAF}">
  <cacheSource type="worksheet">
    <worksheetSource ref="B140:C165" sheet="sales-data"/>
  </cacheSource>
  <cacheFields count="2">
    <cacheField name="REGION" numFmtId="0">
      <sharedItems count="4">
        <s v="North"/>
        <s v="West"/>
        <s v="South"/>
        <s v="East"/>
      </sharedItems>
    </cacheField>
    <cacheField name="TOTAL_SALE" numFmtId="0">
      <sharedItems containsSemiMixedTypes="0" containsString="0" containsNumber="1" containsInteger="1" minValue="3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000"/>
  </r>
  <r>
    <x v="0"/>
    <n v="12000"/>
  </r>
  <r>
    <x v="0"/>
    <n v="40000"/>
  </r>
  <r>
    <x v="0"/>
    <n v="100000"/>
  </r>
  <r>
    <x v="0"/>
    <n v="20000"/>
  </r>
  <r>
    <x v="0"/>
    <n v="1200"/>
  </r>
  <r>
    <x v="0"/>
    <n v="12000"/>
  </r>
  <r>
    <x v="0"/>
    <n v="1500"/>
  </r>
  <r>
    <x v="0"/>
    <n v="6000"/>
  </r>
  <r>
    <x v="0"/>
    <n v="12000"/>
  </r>
  <r>
    <x v="0"/>
    <n v="40000"/>
  </r>
  <r>
    <x v="0"/>
    <n v="100000"/>
  </r>
  <r>
    <x v="0"/>
    <n v="2400"/>
  </r>
  <r>
    <x v="1"/>
    <n v="3500"/>
  </r>
  <r>
    <x v="1"/>
    <n v="3000"/>
  </r>
  <r>
    <x v="1"/>
    <n v="12000"/>
  </r>
  <r>
    <x v="1"/>
    <n v="120000"/>
  </r>
  <r>
    <x v="1"/>
    <n v="150000"/>
  </r>
  <r>
    <x v="1"/>
    <n v="80000"/>
  </r>
  <r>
    <x v="1"/>
    <n v="1200"/>
  </r>
  <r>
    <x v="1"/>
    <n v="4000"/>
  </r>
  <r>
    <x v="2"/>
    <n v="9000"/>
  </r>
  <r>
    <x v="2"/>
    <n v="20000"/>
  </r>
  <r>
    <x v="2"/>
    <n v="300"/>
  </r>
  <r>
    <x v="2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000"/>
  </r>
  <r>
    <x v="0"/>
    <n v="12000"/>
  </r>
  <r>
    <x v="0"/>
    <n v="40000"/>
  </r>
  <r>
    <x v="0"/>
    <n v="100000"/>
  </r>
  <r>
    <x v="0"/>
    <n v="20000"/>
  </r>
  <r>
    <x v="1"/>
    <n v="1200"/>
  </r>
  <r>
    <x v="0"/>
    <n v="12000"/>
  </r>
  <r>
    <x v="1"/>
    <n v="1500"/>
  </r>
  <r>
    <x v="0"/>
    <n v="6000"/>
  </r>
  <r>
    <x v="0"/>
    <n v="12000"/>
  </r>
  <r>
    <x v="0"/>
    <n v="40000"/>
  </r>
  <r>
    <x v="0"/>
    <n v="100000"/>
  </r>
  <r>
    <x v="1"/>
    <n v="2400"/>
  </r>
  <r>
    <x v="1"/>
    <n v="3500"/>
  </r>
  <r>
    <x v="1"/>
    <n v="3000"/>
  </r>
  <r>
    <x v="0"/>
    <n v="12000"/>
  </r>
  <r>
    <x v="0"/>
    <n v="120000"/>
  </r>
  <r>
    <x v="0"/>
    <n v="150000"/>
  </r>
  <r>
    <x v="0"/>
    <n v="80000"/>
  </r>
  <r>
    <x v="1"/>
    <n v="1200"/>
  </r>
  <r>
    <x v="1"/>
    <n v="4000"/>
  </r>
  <r>
    <x v="0"/>
    <n v="9000"/>
  </r>
  <r>
    <x v="0"/>
    <n v="20000"/>
  </r>
  <r>
    <x v="1"/>
    <n v="300"/>
  </r>
  <r>
    <x v="0"/>
    <n v="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</r>
  <r>
    <x v="1"/>
    <x v="1"/>
  </r>
  <r>
    <x v="2"/>
    <x v="2"/>
  </r>
  <r>
    <x v="0"/>
    <x v="0"/>
  </r>
  <r>
    <x v="1"/>
    <x v="3"/>
  </r>
  <r>
    <x v="3"/>
    <x v="4"/>
  </r>
  <r>
    <x v="4"/>
    <x v="1"/>
  </r>
  <r>
    <x v="5"/>
    <x v="5"/>
  </r>
  <r>
    <x v="6"/>
    <x v="6"/>
  </r>
  <r>
    <x v="1"/>
    <x v="1"/>
  </r>
  <r>
    <x v="2"/>
    <x v="2"/>
  </r>
  <r>
    <x v="0"/>
    <x v="0"/>
  </r>
  <r>
    <x v="3"/>
    <x v="7"/>
  </r>
  <r>
    <x v="5"/>
    <x v="8"/>
  </r>
  <r>
    <x v="7"/>
    <x v="9"/>
  </r>
  <r>
    <x v="8"/>
    <x v="10"/>
  </r>
  <r>
    <x v="0"/>
    <x v="11"/>
  </r>
  <r>
    <x v="1"/>
    <x v="12"/>
  </r>
  <r>
    <x v="2"/>
    <x v="13"/>
  </r>
  <r>
    <x v="0"/>
    <x v="4"/>
  </r>
  <r>
    <x v="1"/>
    <x v="14"/>
  </r>
  <r>
    <x v="3"/>
    <x v="15"/>
  </r>
  <r>
    <x v="4"/>
    <x v="3"/>
  </r>
  <r>
    <x v="5"/>
    <x v="16"/>
  </r>
  <r>
    <x v="6"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000"/>
  </r>
  <r>
    <x v="1"/>
    <n v="12000"/>
  </r>
  <r>
    <x v="2"/>
    <n v="40000"/>
  </r>
  <r>
    <x v="0"/>
    <n v="100000"/>
  </r>
  <r>
    <x v="3"/>
    <n v="20000"/>
  </r>
  <r>
    <x v="1"/>
    <n v="1200"/>
  </r>
  <r>
    <x v="0"/>
    <n v="12000"/>
  </r>
  <r>
    <x v="0"/>
    <n v="1500"/>
  </r>
  <r>
    <x v="2"/>
    <n v="6000"/>
  </r>
  <r>
    <x v="0"/>
    <n v="12000"/>
  </r>
  <r>
    <x v="3"/>
    <n v="40000"/>
  </r>
  <r>
    <x v="1"/>
    <n v="100000"/>
  </r>
  <r>
    <x v="1"/>
    <n v="2400"/>
  </r>
  <r>
    <x v="2"/>
    <n v="3500"/>
  </r>
  <r>
    <x v="0"/>
    <n v="3000"/>
  </r>
  <r>
    <x v="1"/>
    <n v="12000"/>
  </r>
  <r>
    <x v="2"/>
    <n v="120000"/>
  </r>
  <r>
    <x v="0"/>
    <n v="150000"/>
  </r>
  <r>
    <x v="3"/>
    <n v="80000"/>
  </r>
  <r>
    <x v="3"/>
    <n v="1200"/>
  </r>
  <r>
    <x v="1"/>
    <n v="4000"/>
  </r>
  <r>
    <x v="1"/>
    <n v="9000"/>
  </r>
  <r>
    <x v="2"/>
    <n v="20000"/>
  </r>
  <r>
    <x v="0"/>
    <n v="300"/>
  </r>
  <r>
    <x v="2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AF674-1856-4F83-B9CD-129F0CA8377C}" name="PivotTable2" cacheId="7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10:F113" firstHeaderRow="1" firstDataRow="1" firstDataCol="1"/>
  <pivotFields count="2"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SAL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9B2E5-68E7-4139-AD21-494CAB36AC76}" name="PivotTable1" cacheId="7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E80:F84" firstHeaderRow="1" firstDataRow="1" firstDataCol="1"/>
  <pivotFields count="2"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12837-4B60-4DE1-A8FE-A6B285E96806}" name="PivotTable4" cacheId="7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41:F146" firstHeaderRow="1" firstDataRow="1" firstDataCol="1"/>
  <pivotFields count="2">
    <pivotField axis="axisRow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82DCD-DC83-4104-AE35-2CEA63AEBC7B}" name="PivotTable3" cacheId="7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58:F68" firstHeaderRow="1" firstDataRow="1" firstDataCol="1"/>
  <pivotFields count="2">
    <pivotField axis="axisRow" compact="0" outline="0" showAll="0">
      <items count="10">
        <item x="7"/>
        <item x="3"/>
        <item x="0"/>
        <item x="1"/>
        <item x="8"/>
        <item x="6"/>
        <item x="5"/>
        <item x="2"/>
        <item x="4"/>
        <item t="default"/>
      </items>
    </pivotField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OTAL_SALES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CDA4-23A9-44F8-B01D-095B49064FBC}">
  <dimension ref="A1:I165"/>
  <sheetViews>
    <sheetView tabSelected="1" topLeftCell="A36" workbookViewId="0">
      <selection activeCell="G125" sqref="G125"/>
    </sheetView>
  </sheetViews>
  <sheetFormatPr defaultRowHeight="15"/>
  <cols>
    <col min="1" max="1" width="43.42578125" customWidth="1"/>
    <col min="2" max="2" width="23.140625" bestFit="1" customWidth="1"/>
    <col min="3" max="3" width="12.28515625" customWidth="1"/>
    <col min="4" max="5" width="11.42578125" customWidth="1"/>
    <col min="6" max="6" width="18.7109375" customWidth="1"/>
    <col min="7" max="7" width="12.42578125" customWidth="1"/>
    <col min="8" max="8" width="14.140625" customWidth="1"/>
    <col min="9" max="9" width="13.5703125" customWidth="1"/>
  </cols>
  <sheetData>
    <row r="1" spans="1:8" ht="31.5">
      <c r="C1" s="7" t="s">
        <v>0</v>
      </c>
      <c r="F1" s="1" t="s">
        <v>1</v>
      </c>
    </row>
    <row r="2" spans="1:8">
      <c r="H2" s="3"/>
    </row>
    <row r="3" spans="1:8">
      <c r="A3" s="8" t="s">
        <v>2</v>
      </c>
    </row>
    <row r="4" spans="1:8">
      <c r="A4" s="2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9</v>
      </c>
    </row>
    <row r="12" spans="1:8">
      <c r="A12" s="4" t="s">
        <v>10</v>
      </c>
    </row>
    <row r="13" spans="1:8">
      <c r="A13" s="5" t="s">
        <v>11</v>
      </c>
    </row>
    <row r="14" spans="1:8">
      <c r="A14" s="6" t="s">
        <v>12</v>
      </c>
    </row>
    <row r="15" spans="1:8">
      <c r="A15" s="6" t="s">
        <v>13</v>
      </c>
    </row>
    <row r="16" spans="1:8">
      <c r="A16" s="6" t="s">
        <v>14</v>
      </c>
    </row>
    <row r="17" spans="1:9">
      <c r="A17" s="6" t="s">
        <v>15</v>
      </c>
    </row>
    <row r="18" spans="1:9">
      <c r="A18" s="6" t="s">
        <v>16</v>
      </c>
    </row>
    <row r="20" spans="1:9">
      <c r="A20" t="s">
        <v>17</v>
      </c>
    </row>
    <row r="21" spans="1:9">
      <c r="A21" s="9" t="s">
        <v>18</v>
      </c>
      <c r="B21" s="9" t="s">
        <v>19</v>
      </c>
      <c r="C21" s="9" t="s">
        <v>20</v>
      </c>
      <c r="D21" s="9" t="s">
        <v>21</v>
      </c>
      <c r="E21" s="9" t="s">
        <v>22</v>
      </c>
      <c r="F21" s="9" t="s">
        <v>23</v>
      </c>
      <c r="G21" s="9" t="s">
        <v>24</v>
      </c>
      <c r="H21" s="9" t="s">
        <v>25</v>
      </c>
      <c r="I21" s="9" t="s">
        <v>26</v>
      </c>
    </row>
    <row r="22" spans="1:9">
      <c r="A22" s="6">
        <v>1001</v>
      </c>
      <c r="B22" s="15">
        <v>46113</v>
      </c>
      <c r="C22" t="s">
        <v>27</v>
      </c>
      <c r="D22" t="s">
        <v>28</v>
      </c>
      <c r="E22">
        <v>2</v>
      </c>
      <c r="F22" t="s">
        <v>29</v>
      </c>
      <c r="G22" t="s">
        <v>30</v>
      </c>
      <c r="H22">
        <v>50000</v>
      </c>
      <c r="I22">
        <f>E22*H22</f>
        <v>100000</v>
      </c>
    </row>
    <row r="23" spans="1:9">
      <c r="A23">
        <v>1002</v>
      </c>
      <c r="B23" s="15">
        <v>46114</v>
      </c>
      <c r="C23" t="s">
        <v>31</v>
      </c>
      <c r="D23" t="s">
        <v>28</v>
      </c>
      <c r="E23">
        <v>3</v>
      </c>
      <c r="F23" t="s">
        <v>32</v>
      </c>
      <c r="G23" t="s">
        <v>33</v>
      </c>
      <c r="H23">
        <v>4000</v>
      </c>
      <c r="I23">
        <f>E23*H23</f>
        <v>12000</v>
      </c>
    </row>
    <row r="24" spans="1:9">
      <c r="A24">
        <v>1003</v>
      </c>
      <c r="B24" s="15">
        <v>46115</v>
      </c>
      <c r="C24" t="s">
        <v>34</v>
      </c>
      <c r="D24" t="s">
        <v>28</v>
      </c>
      <c r="E24">
        <v>4</v>
      </c>
      <c r="F24" t="s">
        <v>29</v>
      </c>
      <c r="G24" t="s">
        <v>35</v>
      </c>
      <c r="H24">
        <v>10000</v>
      </c>
      <c r="I24">
        <f t="shared" ref="I24:I46" si="0">E24*H24</f>
        <v>40000</v>
      </c>
    </row>
    <row r="25" spans="1:9">
      <c r="A25" s="6">
        <v>1004</v>
      </c>
      <c r="B25" s="15">
        <v>46116</v>
      </c>
      <c r="C25" t="s">
        <v>27</v>
      </c>
      <c r="D25" t="s">
        <v>28</v>
      </c>
      <c r="E25">
        <v>2</v>
      </c>
      <c r="F25" t="s">
        <v>36</v>
      </c>
      <c r="G25" t="s">
        <v>30</v>
      </c>
      <c r="H25">
        <v>50000</v>
      </c>
      <c r="I25">
        <f t="shared" si="0"/>
        <v>100000</v>
      </c>
    </row>
    <row r="26" spans="1:9">
      <c r="A26">
        <v>1005</v>
      </c>
      <c r="B26" s="15">
        <v>46117</v>
      </c>
      <c r="C26" t="s">
        <v>31</v>
      </c>
      <c r="D26" t="s">
        <v>28</v>
      </c>
      <c r="E26">
        <v>5</v>
      </c>
      <c r="F26" t="s">
        <v>37</v>
      </c>
      <c r="G26" t="s">
        <v>38</v>
      </c>
      <c r="H26">
        <v>4000</v>
      </c>
      <c r="I26">
        <f t="shared" si="0"/>
        <v>20000</v>
      </c>
    </row>
    <row r="27" spans="1:9">
      <c r="A27">
        <v>1006</v>
      </c>
      <c r="B27" s="15">
        <v>46118</v>
      </c>
      <c r="C27" t="s">
        <v>39</v>
      </c>
      <c r="D27" t="s">
        <v>40</v>
      </c>
      <c r="E27">
        <v>3</v>
      </c>
      <c r="F27" t="s">
        <v>41</v>
      </c>
      <c r="G27" t="s">
        <v>33</v>
      </c>
      <c r="H27">
        <v>400</v>
      </c>
      <c r="I27">
        <f t="shared" si="0"/>
        <v>1200</v>
      </c>
    </row>
    <row r="28" spans="1:9">
      <c r="A28" s="6">
        <v>1007</v>
      </c>
      <c r="B28" s="15">
        <v>46119</v>
      </c>
      <c r="C28" t="s">
        <v>42</v>
      </c>
      <c r="D28" t="s">
        <v>28</v>
      </c>
      <c r="E28">
        <v>6</v>
      </c>
      <c r="F28" t="s">
        <v>32</v>
      </c>
      <c r="G28" t="s">
        <v>30</v>
      </c>
      <c r="H28">
        <v>2000</v>
      </c>
      <c r="I28">
        <f t="shared" si="0"/>
        <v>12000</v>
      </c>
    </row>
    <row r="29" spans="1:9">
      <c r="A29">
        <v>1008</v>
      </c>
      <c r="B29" s="15">
        <v>46120</v>
      </c>
      <c r="C29" t="s">
        <v>43</v>
      </c>
      <c r="D29" t="s">
        <v>40</v>
      </c>
      <c r="E29">
        <v>3</v>
      </c>
      <c r="F29" t="s">
        <v>29</v>
      </c>
      <c r="G29" t="s">
        <v>30</v>
      </c>
      <c r="H29">
        <v>500</v>
      </c>
      <c r="I29">
        <f t="shared" si="0"/>
        <v>1500</v>
      </c>
    </row>
    <row r="30" spans="1:9">
      <c r="A30">
        <v>1009</v>
      </c>
      <c r="B30" s="15">
        <v>46121</v>
      </c>
      <c r="C30" t="s">
        <v>44</v>
      </c>
      <c r="D30" t="s">
        <v>28</v>
      </c>
      <c r="E30">
        <v>3</v>
      </c>
      <c r="F30" t="s">
        <v>41</v>
      </c>
      <c r="G30" t="s">
        <v>35</v>
      </c>
      <c r="H30">
        <v>2000</v>
      </c>
      <c r="I30">
        <f t="shared" si="0"/>
        <v>6000</v>
      </c>
    </row>
    <row r="31" spans="1:9">
      <c r="A31" s="6">
        <v>1010</v>
      </c>
      <c r="B31" s="15">
        <v>46122</v>
      </c>
      <c r="C31" t="s">
        <v>31</v>
      </c>
      <c r="D31" t="s">
        <v>28</v>
      </c>
      <c r="E31">
        <v>3</v>
      </c>
      <c r="F31" t="s">
        <v>37</v>
      </c>
      <c r="G31" t="s">
        <v>30</v>
      </c>
      <c r="H31">
        <v>4000</v>
      </c>
      <c r="I31">
        <f t="shared" si="0"/>
        <v>12000</v>
      </c>
    </row>
    <row r="32" spans="1:9">
      <c r="A32">
        <v>1011</v>
      </c>
      <c r="B32" s="15">
        <v>46123</v>
      </c>
      <c r="C32" t="s">
        <v>34</v>
      </c>
      <c r="D32" t="s">
        <v>28</v>
      </c>
      <c r="E32">
        <v>4</v>
      </c>
      <c r="F32" t="s">
        <v>45</v>
      </c>
      <c r="G32" t="s">
        <v>38</v>
      </c>
      <c r="H32">
        <v>10000</v>
      </c>
      <c r="I32">
        <f t="shared" si="0"/>
        <v>40000</v>
      </c>
    </row>
    <row r="33" spans="1:9">
      <c r="A33">
        <v>1012</v>
      </c>
      <c r="B33" s="15">
        <v>46124</v>
      </c>
      <c r="C33" t="s">
        <v>27</v>
      </c>
      <c r="D33" t="s">
        <v>28</v>
      </c>
      <c r="E33">
        <v>2</v>
      </c>
      <c r="F33" t="s">
        <v>46</v>
      </c>
      <c r="G33" t="s">
        <v>33</v>
      </c>
      <c r="H33">
        <v>50000</v>
      </c>
      <c r="I33">
        <f t="shared" si="0"/>
        <v>100000</v>
      </c>
    </row>
    <row r="34" spans="1:9">
      <c r="A34" s="6">
        <v>1013</v>
      </c>
      <c r="B34" s="15">
        <v>46125</v>
      </c>
      <c r="C34" t="s">
        <v>39</v>
      </c>
      <c r="D34" t="s">
        <v>40</v>
      </c>
      <c r="E34">
        <v>6</v>
      </c>
      <c r="F34" t="s">
        <v>37</v>
      </c>
      <c r="G34" t="s">
        <v>33</v>
      </c>
      <c r="H34">
        <v>400</v>
      </c>
      <c r="I34">
        <f t="shared" si="0"/>
        <v>2400</v>
      </c>
    </row>
    <row r="35" spans="1:9">
      <c r="A35">
        <v>1014</v>
      </c>
      <c r="B35" s="15">
        <v>46143</v>
      </c>
      <c r="C35" t="s">
        <v>43</v>
      </c>
      <c r="D35" t="s">
        <v>40</v>
      </c>
      <c r="E35">
        <v>7</v>
      </c>
      <c r="F35" t="s">
        <v>41</v>
      </c>
      <c r="G35" t="s">
        <v>35</v>
      </c>
      <c r="H35">
        <v>500</v>
      </c>
      <c r="I35">
        <f t="shared" si="0"/>
        <v>3500</v>
      </c>
    </row>
    <row r="36" spans="1:9">
      <c r="A36">
        <v>1015</v>
      </c>
      <c r="B36" s="15">
        <v>46144</v>
      </c>
      <c r="C36" t="s">
        <v>47</v>
      </c>
      <c r="D36" t="s">
        <v>40</v>
      </c>
      <c r="E36">
        <v>3</v>
      </c>
      <c r="F36" t="s">
        <v>29</v>
      </c>
      <c r="G36" t="s">
        <v>30</v>
      </c>
      <c r="H36">
        <v>1000</v>
      </c>
      <c r="I36">
        <f t="shared" si="0"/>
        <v>3000</v>
      </c>
    </row>
    <row r="37" spans="1:9">
      <c r="A37" s="6">
        <v>1016</v>
      </c>
      <c r="B37" s="15">
        <v>46145</v>
      </c>
      <c r="C37" t="s">
        <v>42</v>
      </c>
      <c r="D37" t="s">
        <v>28</v>
      </c>
      <c r="E37">
        <v>6</v>
      </c>
      <c r="F37" t="s">
        <v>36</v>
      </c>
      <c r="G37" t="s">
        <v>33</v>
      </c>
      <c r="H37">
        <v>2000</v>
      </c>
      <c r="I37">
        <f t="shared" si="0"/>
        <v>12000</v>
      </c>
    </row>
    <row r="38" spans="1:9">
      <c r="A38">
        <v>1017</v>
      </c>
      <c r="B38" s="15">
        <v>46146</v>
      </c>
      <c r="C38" t="s">
        <v>48</v>
      </c>
      <c r="D38" t="s">
        <v>28</v>
      </c>
      <c r="E38">
        <v>4</v>
      </c>
      <c r="F38" t="s">
        <v>29</v>
      </c>
      <c r="G38" t="s">
        <v>35</v>
      </c>
      <c r="H38">
        <v>30000</v>
      </c>
      <c r="I38">
        <f t="shared" si="0"/>
        <v>120000</v>
      </c>
    </row>
    <row r="39" spans="1:9">
      <c r="A39">
        <v>1018</v>
      </c>
      <c r="B39" s="15">
        <v>46147</v>
      </c>
      <c r="C39" t="s">
        <v>27</v>
      </c>
      <c r="D39" t="s">
        <v>28</v>
      </c>
      <c r="E39">
        <v>3</v>
      </c>
      <c r="F39" t="s">
        <v>49</v>
      </c>
      <c r="G39" t="s">
        <v>30</v>
      </c>
      <c r="H39">
        <v>50000</v>
      </c>
      <c r="I39">
        <f t="shared" si="0"/>
        <v>150000</v>
      </c>
    </row>
    <row r="40" spans="1:9">
      <c r="A40" s="6">
        <v>1019</v>
      </c>
      <c r="B40" s="15">
        <v>46148</v>
      </c>
      <c r="C40" t="s">
        <v>34</v>
      </c>
      <c r="D40" t="s">
        <v>28</v>
      </c>
      <c r="E40">
        <v>8</v>
      </c>
      <c r="F40" t="s">
        <v>50</v>
      </c>
      <c r="G40" t="s">
        <v>38</v>
      </c>
      <c r="H40">
        <v>10000</v>
      </c>
      <c r="I40">
        <f t="shared" si="0"/>
        <v>80000</v>
      </c>
    </row>
    <row r="41" spans="1:9">
      <c r="A41" s="6">
        <v>1020</v>
      </c>
      <c r="B41" s="15">
        <v>46149</v>
      </c>
      <c r="C41" t="s">
        <v>43</v>
      </c>
      <c r="D41" t="s">
        <v>40</v>
      </c>
      <c r="E41">
        <v>3</v>
      </c>
      <c r="F41" t="s">
        <v>36</v>
      </c>
      <c r="G41" t="s">
        <v>38</v>
      </c>
      <c r="H41">
        <v>400</v>
      </c>
      <c r="I41">
        <f t="shared" si="0"/>
        <v>1200</v>
      </c>
    </row>
    <row r="42" spans="1:9">
      <c r="A42">
        <v>1021</v>
      </c>
      <c r="B42" s="15">
        <v>46150</v>
      </c>
      <c r="C42" t="s">
        <v>39</v>
      </c>
      <c r="D42" t="s">
        <v>40</v>
      </c>
      <c r="E42">
        <v>8</v>
      </c>
      <c r="F42" t="s">
        <v>32</v>
      </c>
      <c r="G42" t="s">
        <v>33</v>
      </c>
      <c r="H42">
        <v>500</v>
      </c>
      <c r="I42">
        <f t="shared" si="0"/>
        <v>4000</v>
      </c>
    </row>
    <row r="43" spans="1:9">
      <c r="A43">
        <v>1022</v>
      </c>
      <c r="B43" s="15">
        <v>46174</v>
      </c>
      <c r="C43" t="s">
        <v>44</v>
      </c>
      <c r="D43" t="s">
        <v>28</v>
      </c>
      <c r="E43">
        <v>3</v>
      </c>
      <c r="F43" t="s">
        <v>45</v>
      </c>
      <c r="G43" t="s">
        <v>33</v>
      </c>
      <c r="H43">
        <v>3000</v>
      </c>
      <c r="I43">
        <f t="shared" si="0"/>
        <v>9000</v>
      </c>
    </row>
    <row r="44" spans="1:9">
      <c r="A44" s="6">
        <v>1023</v>
      </c>
      <c r="B44" s="15">
        <v>46175</v>
      </c>
      <c r="C44" t="s">
        <v>34</v>
      </c>
      <c r="D44" t="s">
        <v>28</v>
      </c>
      <c r="E44">
        <v>2</v>
      </c>
      <c r="F44" t="s">
        <v>36</v>
      </c>
      <c r="G44" t="s">
        <v>35</v>
      </c>
      <c r="H44">
        <v>10000</v>
      </c>
      <c r="I44">
        <f t="shared" si="0"/>
        <v>20000</v>
      </c>
    </row>
    <row r="45" spans="1:9">
      <c r="A45">
        <v>1024</v>
      </c>
      <c r="B45" s="15">
        <v>46176</v>
      </c>
      <c r="C45" t="s">
        <v>39</v>
      </c>
      <c r="D45" t="s">
        <v>40</v>
      </c>
      <c r="E45">
        <v>1</v>
      </c>
      <c r="F45" t="s">
        <v>45</v>
      </c>
      <c r="G45" t="s">
        <v>30</v>
      </c>
      <c r="H45">
        <v>300</v>
      </c>
      <c r="I45">
        <f t="shared" si="0"/>
        <v>300</v>
      </c>
    </row>
    <row r="46" spans="1:9">
      <c r="A46">
        <v>1025</v>
      </c>
      <c r="B46" s="15">
        <v>46177</v>
      </c>
      <c r="C46" t="s">
        <v>31</v>
      </c>
      <c r="D46" t="s">
        <v>28</v>
      </c>
      <c r="E46">
        <v>1</v>
      </c>
      <c r="F46" t="s">
        <v>46</v>
      </c>
      <c r="G46" t="s">
        <v>35</v>
      </c>
      <c r="H46">
        <v>4000</v>
      </c>
      <c r="I46">
        <f t="shared" si="0"/>
        <v>4000</v>
      </c>
    </row>
    <row r="47" spans="1:9">
      <c r="I47" s="10">
        <f>SUM(I22:I46)</f>
        <v>854100</v>
      </c>
    </row>
    <row r="50" spans="1:6">
      <c r="A50" t="s">
        <v>51</v>
      </c>
      <c r="B50" s="11" t="str">
        <f>INDEX(C22:C46,MATCH(MAX(I22:I46),I22:I46,0))</f>
        <v>Laptop</v>
      </c>
    </row>
    <row r="52" spans="1:6">
      <c r="B52" s="9" t="s">
        <v>20</v>
      </c>
      <c r="C52" t="s">
        <v>52</v>
      </c>
    </row>
    <row r="53" spans="1:6">
      <c r="B53" t="s">
        <v>27</v>
      </c>
      <c r="C53">
        <f>E22*H22</f>
        <v>100000</v>
      </c>
    </row>
    <row r="54" spans="1:6">
      <c r="B54" t="s">
        <v>31</v>
      </c>
      <c r="C54">
        <f t="shared" ref="C54:C77" si="1">E23*H23</f>
        <v>12000</v>
      </c>
    </row>
    <row r="55" spans="1:6">
      <c r="B55" t="s">
        <v>34</v>
      </c>
      <c r="C55">
        <f t="shared" si="1"/>
        <v>40000</v>
      </c>
    </row>
    <row r="56" spans="1:6">
      <c r="B56" t="s">
        <v>27</v>
      </c>
      <c r="C56">
        <f t="shared" si="1"/>
        <v>100000</v>
      </c>
    </row>
    <row r="57" spans="1:6">
      <c r="B57" t="s">
        <v>31</v>
      </c>
      <c r="C57">
        <f t="shared" si="1"/>
        <v>20000</v>
      </c>
    </row>
    <row r="58" spans="1:6">
      <c r="B58" t="s">
        <v>39</v>
      </c>
      <c r="C58">
        <f t="shared" si="1"/>
        <v>1200</v>
      </c>
      <c r="E58" s="12" t="s">
        <v>20</v>
      </c>
      <c r="F58" t="s">
        <v>53</v>
      </c>
    </row>
    <row r="59" spans="1:6">
      <c r="B59" t="s">
        <v>42</v>
      </c>
      <c r="C59">
        <f t="shared" si="1"/>
        <v>12000</v>
      </c>
      <c r="E59" t="s">
        <v>47</v>
      </c>
      <c r="F59" s="13">
        <v>1</v>
      </c>
    </row>
    <row r="60" spans="1:6">
      <c r="B60" t="s">
        <v>43</v>
      </c>
      <c r="C60">
        <f t="shared" si="1"/>
        <v>1500</v>
      </c>
      <c r="E60" t="s">
        <v>39</v>
      </c>
      <c r="F60" s="13">
        <v>3</v>
      </c>
    </row>
    <row r="61" spans="1:6">
      <c r="B61" t="s">
        <v>44</v>
      </c>
      <c r="C61">
        <f t="shared" si="1"/>
        <v>6000</v>
      </c>
      <c r="E61" t="s">
        <v>27</v>
      </c>
      <c r="F61" s="13">
        <v>5</v>
      </c>
    </row>
    <row r="62" spans="1:6">
      <c r="B62" t="s">
        <v>31</v>
      </c>
      <c r="C62">
        <f t="shared" si="1"/>
        <v>12000</v>
      </c>
      <c r="E62" t="s">
        <v>31</v>
      </c>
      <c r="F62" s="13">
        <v>5</v>
      </c>
    </row>
    <row r="63" spans="1:6">
      <c r="B63" t="s">
        <v>34</v>
      </c>
      <c r="C63">
        <f t="shared" si="1"/>
        <v>40000</v>
      </c>
      <c r="E63" t="s">
        <v>20</v>
      </c>
      <c r="F63" s="13">
        <v>1</v>
      </c>
    </row>
    <row r="64" spans="1:6">
      <c r="B64" t="s">
        <v>27</v>
      </c>
      <c r="C64">
        <f t="shared" si="1"/>
        <v>100000</v>
      </c>
      <c r="E64" t="s">
        <v>44</v>
      </c>
      <c r="F64" s="13">
        <v>2</v>
      </c>
    </row>
    <row r="65" spans="1:6">
      <c r="B65" t="s">
        <v>39</v>
      </c>
      <c r="C65">
        <f t="shared" si="1"/>
        <v>2400</v>
      </c>
      <c r="E65" t="s">
        <v>43</v>
      </c>
      <c r="F65" s="13">
        <v>3</v>
      </c>
    </row>
    <row r="66" spans="1:6">
      <c r="B66" t="s">
        <v>43</v>
      </c>
      <c r="C66">
        <f t="shared" si="1"/>
        <v>3500</v>
      </c>
      <c r="E66" t="s">
        <v>34</v>
      </c>
      <c r="F66" s="13">
        <v>3</v>
      </c>
    </row>
    <row r="67" spans="1:6">
      <c r="B67" t="s">
        <v>47</v>
      </c>
      <c r="C67">
        <f t="shared" si="1"/>
        <v>3000</v>
      </c>
      <c r="E67" t="s">
        <v>42</v>
      </c>
      <c r="F67" s="13">
        <v>2</v>
      </c>
    </row>
    <row r="68" spans="1:6">
      <c r="B68" t="s">
        <v>42</v>
      </c>
      <c r="C68">
        <f t="shared" si="1"/>
        <v>12000</v>
      </c>
      <c r="E68" t="s">
        <v>54</v>
      </c>
      <c r="F68" s="13">
        <v>25</v>
      </c>
    </row>
    <row r="69" spans="1:6">
      <c r="B69" t="s">
        <v>48</v>
      </c>
      <c r="C69">
        <f>E38*H38</f>
        <v>120000</v>
      </c>
    </row>
    <row r="70" spans="1:6">
      <c r="B70" t="s">
        <v>27</v>
      </c>
      <c r="C70">
        <f t="shared" ref="C70:C77" si="2">E39*H39</f>
        <v>150000</v>
      </c>
    </row>
    <row r="71" spans="1:6">
      <c r="B71" t="s">
        <v>34</v>
      </c>
      <c r="C71">
        <f t="shared" si="2"/>
        <v>80000</v>
      </c>
    </row>
    <row r="72" spans="1:6">
      <c r="B72" t="s">
        <v>43</v>
      </c>
      <c r="C72">
        <f t="shared" si="2"/>
        <v>1200</v>
      </c>
    </row>
    <row r="73" spans="1:6">
      <c r="B73" t="s">
        <v>39</v>
      </c>
      <c r="C73">
        <f t="shared" si="2"/>
        <v>4000</v>
      </c>
    </row>
    <row r="74" spans="1:6">
      <c r="B74" t="s">
        <v>44</v>
      </c>
      <c r="C74">
        <f t="shared" si="2"/>
        <v>9000</v>
      </c>
    </row>
    <row r="75" spans="1:6">
      <c r="B75" t="s">
        <v>34</v>
      </c>
      <c r="C75">
        <f t="shared" si="2"/>
        <v>20000</v>
      </c>
    </row>
    <row r="76" spans="1:6">
      <c r="B76" t="s">
        <v>39</v>
      </c>
      <c r="C76">
        <f t="shared" si="2"/>
        <v>300</v>
      </c>
    </row>
    <row r="77" spans="1:6">
      <c r="B77" t="s">
        <v>31</v>
      </c>
      <c r="C77">
        <f t="shared" si="2"/>
        <v>4000</v>
      </c>
    </row>
    <row r="78" spans="1:6">
      <c r="B78" s="16"/>
    </row>
    <row r="79" spans="1:6">
      <c r="A79" t="s">
        <v>55</v>
      </c>
    </row>
    <row r="80" spans="1:6">
      <c r="B80" t="s">
        <v>56</v>
      </c>
      <c r="C80" s="9" t="s">
        <v>26</v>
      </c>
      <c r="E80" s="12" t="s">
        <v>56</v>
      </c>
      <c r="F80" t="s">
        <v>57</v>
      </c>
    </row>
    <row r="81" spans="2:6">
      <c r="B81" t="str" cm="1">
        <f t="array" ref="B81:B105">TEXT(B22:B46,"MMM-YYYY")</f>
        <v>Apr-2026</v>
      </c>
      <c r="C81">
        <f>E22*H22</f>
        <v>100000</v>
      </c>
      <c r="E81" t="s">
        <v>58</v>
      </c>
      <c r="F81" s="13">
        <v>447100</v>
      </c>
    </row>
    <row r="82" spans="2:6">
      <c r="B82" t="str">
        <v>Apr-2026</v>
      </c>
      <c r="C82">
        <f t="shared" ref="C82:C105" si="3">E23*H23</f>
        <v>12000</v>
      </c>
      <c r="E82" t="s">
        <v>59</v>
      </c>
      <c r="F82" s="13">
        <v>33300</v>
      </c>
    </row>
    <row r="83" spans="2:6">
      <c r="B83" t="str">
        <v>Apr-2026</v>
      </c>
      <c r="C83">
        <f t="shared" si="3"/>
        <v>40000</v>
      </c>
      <c r="E83" t="s">
        <v>60</v>
      </c>
      <c r="F83" s="13">
        <v>373700</v>
      </c>
    </row>
    <row r="84" spans="2:6">
      <c r="B84" t="str">
        <v>Apr-2026</v>
      </c>
      <c r="C84">
        <f t="shared" si="3"/>
        <v>100000</v>
      </c>
      <c r="E84" t="s">
        <v>54</v>
      </c>
      <c r="F84" s="13">
        <v>854100</v>
      </c>
    </row>
    <row r="85" spans="2:6">
      <c r="B85" t="str">
        <v>Apr-2026</v>
      </c>
      <c r="C85">
        <f t="shared" si="3"/>
        <v>20000</v>
      </c>
    </row>
    <row r="86" spans="2:6">
      <c r="B86" t="str">
        <v>Apr-2026</v>
      </c>
      <c r="C86">
        <f t="shared" si="3"/>
        <v>1200</v>
      </c>
    </row>
    <row r="87" spans="2:6">
      <c r="B87" t="str">
        <v>Apr-2026</v>
      </c>
      <c r="C87">
        <f t="shared" si="3"/>
        <v>12000</v>
      </c>
    </row>
    <row r="88" spans="2:6">
      <c r="B88" t="str">
        <v>Apr-2026</v>
      </c>
      <c r="C88">
        <f t="shared" si="3"/>
        <v>1500</v>
      </c>
    </row>
    <row r="89" spans="2:6">
      <c r="B89" t="str">
        <v>Apr-2026</v>
      </c>
      <c r="C89">
        <f t="shared" si="3"/>
        <v>6000</v>
      </c>
    </row>
    <row r="90" spans="2:6">
      <c r="B90" t="str">
        <v>Apr-2026</v>
      </c>
      <c r="C90">
        <f t="shared" si="3"/>
        <v>12000</v>
      </c>
    </row>
    <row r="91" spans="2:6">
      <c r="B91" t="str">
        <v>Apr-2026</v>
      </c>
      <c r="C91">
        <f t="shared" si="3"/>
        <v>40000</v>
      </c>
    </row>
    <row r="92" spans="2:6">
      <c r="B92" t="str">
        <v>Apr-2026</v>
      </c>
      <c r="C92">
        <f t="shared" si="3"/>
        <v>100000</v>
      </c>
    </row>
    <row r="93" spans="2:6">
      <c r="B93" t="str">
        <v>Apr-2026</v>
      </c>
      <c r="C93">
        <f t="shared" si="3"/>
        <v>2400</v>
      </c>
    </row>
    <row r="94" spans="2:6">
      <c r="B94" t="str">
        <v>May-2026</v>
      </c>
      <c r="C94">
        <f t="shared" si="3"/>
        <v>3500</v>
      </c>
    </row>
    <row r="95" spans="2:6">
      <c r="B95" t="str">
        <v>May-2026</v>
      </c>
      <c r="C95">
        <f t="shared" si="3"/>
        <v>3000</v>
      </c>
    </row>
    <row r="96" spans="2:6">
      <c r="B96" t="str">
        <v>May-2026</v>
      </c>
      <c r="C96">
        <f t="shared" si="3"/>
        <v>12000</v>
      </c>
    </row>
    <row r="97" spans="1:6">
      <c r="B97" t="str">
        <v>May-2026</v>
      </c>
      <c r="C97">
        <f t="shared" si="3"/>
        <v>120000</v>
      </c>
    </row>
    <row r="98" spans="1:6">
      <c r="B98" t="str">
        <v>May-2026</v>
      </c>
      <c r="C98">
        <f t="shared" si="3"/>
        <v>150000</v>
      </c>
    </row>
    <row r="99" spans="1:6">
      <c r="B99" t="str">
        <v>May-2026</v>
      </c>
      <c r="C99">
        <f t="shared" si="3"/>
        <v>80000</v>
      </c>
    </row>
    <row r="100" spans="1:6">
      <c r="B100" t="str">
        <v>May-2026</v>
      </c>
      <c r="C100">
        <f t="shared" si="3"/>
        <v>1200</v>
      </c>
    </row>
    <row r="101" spans="1:6">
      <c r="B101" t="str">
        <v>May-2026</v>
      </c>
      <c r="C101">
        <f t="shared" si="3"/>
        <v>4000</v>
      </c>
    </row>
    <row r="102" spans="1:6">
      <c r="B102" t="str">
        <v>Jun-2026</v>
      </c>
      <c r="C102">
        <f t="shared" si="3"/>
        <v>9000</v>
      </c>
    </row>
    <row r="103" spans="1:6">
      <c r="B103" t="str">
        <v>Jun-2026</v>
      </c>
      <c r="C103">
        <f t="shared" si="3"/>
        <v>20000</v>
      </c>
    </row>
    <row r="104" spans="1:6">
      <c r="B104" t="str">
        <v>Jun-2026</v>
      </c>
      <c r="C104">
        <f t="shared" si="3"/>
        <v>300</v>
      </c>
    </row>
    <row r="105" spans="1:6">
      <c r="B105" t="str">
        <v>Jun-2026</v>
      </c>
      <c r="C105">
        <f t="shared" si="3"/>
        <v>4000</v>
      </c>
    </row>
    <row r="108" spans="1:6">
      <c r="A108" s="6" t="s">
        <v>61</v>
      </c>
      <c r="B108" s="14" t="str">
        <f>INDEX(F22:F46,MATCH(MAX(I22:I46),I22:I46,0))</f>
        <v>Somya</v>
      </c>
    </row>
    <row r="109" spans="1:6">
      <c r="C109" s="16"/>
    </row>
    <row r="110" spans="1:6">
      <c r="A110" t="s">
        <v>62</v>
      </c>
      <c r="B110" s="9" t="s">
        <v>21</v>
      </c>
      <c r="C110" s="9" t="s">
        <v>26</v>
      </c>
      <c r="E110" s="12" t="s">
        <v>21</v>
      </c>
      <c r="F110" t="s">
        <v>57</v>
      </c>
    </row>
    <row r="111" spans="1:6">
      <c r="B111" t="s">
        <v>28</v>
      </c>
      <c r="C111">
        <f>H22*E22</f>
        <v>100000</v>
      </c>
      <c r="E111" t="s">
        <v>28</v>
      </c>
      <c r="F111" s="13">
        <v>837000</v>
      </c>
    </row>
    <row r="112" spans="1:6">
      <c r="B112" t="s">
        <v>28</v>
      </c>
      <c r="C112">
        <f t="shared" ref="C112:C135" si="4">H23*E23</f>
        <v>12000</v>
      </c>
      <c r="E112" t="s">
        <v>40</v>
      </c>
      <c r="F112" s="13">
        <v>17100</v>
      </c>
    </row>
    <row r="113" spans="2:8">
      <c r="B113" t="s">
        <v>28</v>
      </c>
      <c r="C113">
        <f t="shared" si="4"/>
        <v>40000</v>
      </c>
      <c r="E113" t="s">
        <v>54</v>
      </c>
      <c r="F113" s="13">
        <v>854100</v>
      </c>
    </row>
    <row r="114" spans="2:8">
      <c r="B114" t="s">
        <v>28</v>
      </c>
      <c r="C114">
        <f t="shared" si="4"/>
        <v>100000</v>
      </c>
    </row>
    <row r="115" spans="2:8">
      <c r="B115" t="s">
        <v>28</v>
      </c>
      <c r="C115">
        <f t="shared" si="4"/>
        <v>20000</v>
      </c>
      <c r="E115" t="s">
        <v>62</v>
      </c>
      <c r="H115" s="11">
        <f>MAX(F111:F112)</f>
        <v>837000</v>
      </c>
    </row>
    <row r="116" spans="2:8">
      <c r="B116" t="s">
        <v>40</v>
      </c>
      <c r="C116">
        <f t="shared" si="4"/>
        <v>1200</v>
      </c>
    </row>
    <row r="117" spans="2:8">
      <c r="B117" t="s">
        <v>28</v>
      </c>
      <c r="C117">
        <f t="shared" si="4"/>
        <v>12000</v>
      </c>
    </row>
    <row r="118" spans="2:8">
      <c r="B118" t="s">
        <v>40</v>
      </c>
      <c r="C118">
        <f t="shared" si="4"/>
        <v>1500</v>
      </c>
    </row>
    <row r="119" spans="2:8">
      <c r="B119" t="s">
        <v>28</v>
      </c>
      <c r="C119">
        <f t="shared" si="4"/>
        <v>6000</v>
      </c>
    </row>
    <row r="120" spans="2:8">
      <c r="B120" t="s">
        <v>28</v>
      </c>
      <c r="C120">
        <f t="shared" si="4"/>
        <v>12000</v>
      </c>
    </row>
    <row r="121" spans="2:8">
      <c r="B121" t="s">
        <v>28</v>
      </c>
      <c r="C121">
        <f t="shared" si="4"/>
        <v>40000</v>
      </c>
    </row>
    <row r="122" spans="2:8">
      <c r="B122" t="s">
        <v>28</v>
      </c>
      <c r="C122">
        <f t="shared" si="4"/>
        <v>100000</v>
      </c>
    </row>
    <row r="123" spans="2:8">
      <c r="B123" t="s">
        <v>40</v>
      </c>
      <c r="C123">
        <f t="shared" si="4"/>
        <v>2400</v>
      </c>
    </row>
    <row r="124" spans="2:8">
      <c r="B124" t="s">
        <v>40</v>
      </c>
      <c r="C124">
        <f t="shared" si="4"/>
        <v>3500</v>
      </c>
    </row>
    <row r="125" spans="2:8">
      <c r="B125" t="s">
        <v>40</v>
      </c>
      <c r="C125">
        <f t="shared" si="4"/>
        <v>3000</v>
      </c>
    </row>
    <row r="126" spans="2:8">
      <c r="B126" t="s">
        <v>28</v>
      </c>
      <c r="C126">
        <f t="shared" si="4"/>
        <v>12000</v>
      </c>
    </row>
    <row r="127" spans="2:8">
      <c r="B127" t="s">
        <v>28</v>
      </c>
      <c r="C127">
        <f t="shared" si="4"/>
        <v>120000</v>
      </c>
    </row>
    <row r="128" spans="2:8">
      <c r="B128" t="s">
        <v>28</v>
      </c>
      <c r="C128">
        <f t="shared" si="4"/>
        <v>150000</v>
      </c>
    </row>
    <row r="129" spans="1:6">
      <c r="B129" t="s">
        <v>28</v>
      </c>
      <c r="C129">
        <f t="shared" si="4"/>
        <v>80000</v>
      </c>
    </row>
    <row r="130" spans="1:6">
      <c r="B130" t="s">
        <v>40</v>
      </c>
      <c r="C130">
        <f t="shared" si="4"/>
        <v>1200</v>
      </c>
    </row>
    <row r="131" spans="1:6">
      <c r="B131" t="s">
        <v>40</v>
      </c>
      <c r="C131">
        <f t="shared" si="4"/>
        <v>4000</v>
      </c>
    </row>
    <row r="132" spans="1:6">
      <c r="B132" t="s">
        <v>28</v>
      </c>
      <c r="C132">
        <f t="shared" si="4"/>
        <v>9000</v>
      </c>
    </row>
    <row r="133" spans="1:6">
      <c r="B133" t="s">
        <v>28</v>
      </c>
      <c r="C133">
        <f t="shared" si="4"/>
        <v>20000</v>
      </c>
    </row>
    <row r="134" spans="1:6">
      <c r="B134" t="s">
        <v>40</v>
      </c>
      <c r="C134">
        <f t="shared" si="4"/>
        <v>300</v>
      </c>
    </row>
    <row r="135" spans="1:6">
      <c r="B135" t="s">
        <v>28</v>
      </c>
      <c r="C135">
        <f t="shared" si="4"/>
        <v>4000</v>
      </c>
    </row>
    <row r="136" spans="1:6">
      <c r="C136" s="11">
        <f>SUM(C111:C135)</f>
        <v>854100</v>
      </c>
    </row>
    <row r="138" spans="1:6">
      <c r="A138" t="s">
        <v>63</v>
      </c>
      <c r="B138" s="11" t="str">
        <f>INDEX(G22:G46,MATCH(MAX(I22:I46),I22:I46,0))</f>
        <v>North</v>
      </c>
    </row>
    <row r="140" spans="1:6">
      <c r="B140" s="9" t="s">
        <v>24</v>
      </c>
      <c r="C140" t="s">
        <v>26</v>
      </c>
    </row>
    <row r="141" spans="1:6">
      <c r="B141" t="s">
        <v>30</v>
      </c>
      <c r="C141">
        <f>E22*H22</f>
        <v>100000</v>
      </c>
      <c r="E141" s="12" t="s">
        <v>24</v>
      </c>
      <c r="F141" t="s">
        <v>57</v>
      </c>
    </row>
    <row r="142" spans="1:6">
      <c r="B142" t="s">
        <v>33</v>
      </c>
      <c r="C142">
        <f t="shared" ref="C142:C165" si="5">E23*H23</f>
        <v>12000</v>
      </c>
      <c r="E142" t="s">
        <v>38</v>
      </c>
      <c r="F142" s="13">
        <v>141200</v>
      </c>
    </row>
    <row r="143" spans="1:6">
      <c r="B143" t="s">
        <v>35</v>
      </c>
      <c r="C143">
        <f t="shared" si="5"/>
        <v>40000</v>
      </c>
      <c r="E143" t="s">
        <v>30</v>
      </c>
      <c r="F143" s="13">
        <v>378800</v>
      </c>
    </row>
    <row r="144" spans="1:6">
      <c r="B144" t="s">
        <v>30</v>
      </c>
      <c r="C144">
        <f t="shared" si="5"/>
        <v>100000</v>
      </c>
      <c r="E144" t="s">
        <v>35</v>
      </c>
      <c r="F144" s="13">
        <v>193500</v>
      </c>
    </row>
    <row r="145" spans="2:6">
      <c r="B145" t="s">
        <v>38</v>
      </c>
      <c r="C145">
        <f t="shared" si="5"/>
        <v>20000</v>
      </c>
      <c r="E145" t="s">
        <v>33</v>
      </c>
      <c r="F145" s="13">
        <v>140600</v>
      </c>
    </row>
    <row r="146" spans="2:6">
      <c r="B146" t="s">
        <v>33</v>
      </c>
      <c r="C146">
        <f t="shared" si="5"/>
        <v>1200</v>
      </c>
      <c r="E146" t="s">
        <v>54</v>
      </c>
      <c r="F146" s="13">
        <v>854100</v>
      </c>
    </row>
    <row r="147" spans="2:6">
      <c r="B147" t="s">
        <v>30</v>
      </c>
      <c r="C147">
        <f t="shared" si="5"/>
        <v>12000</v>
      </c>
    </row>
    <row r="148" spans="2:6">
      <c r="B148" t="s">
        <v>30</v>
      </c>
      <c r="C148">
        <f t="shared" si="5"/>
        <v>1500</v>
      </c>
    </row>
    <row r="149" spans="2:6">
      <c r="B149" t="s">
        <v>35</v>
      </c>
      <c r="C149">
        <f t="shared" si="5"/>
        <v>6000</v>
      </c>
    </row>
    <row r="150" spans="2:6">
      <c r="B150" t="s">
        <v>30</v>
      </c>
      <c r="C150">
        <f t="shared" si="5"/>
        <v>12000</v>
      </c>
    </row>
    <row r="151" spans="2:6">
      <c r="B151" t="s">
        <v>38</v>
      </c>
      <c r="C151">
        <f t="shared" si="5"/>
        <v>40000</v>
      </c>
    </row>
    <row r="152" spans="2:6">
      <c r="B152" t="s">
        <v>33</v>
      </c>
      <c r="C152">
        <f t="shared" si="5"/>
        <v>100000</v>
      </c>
    </row>
    <row r="153" spans="2:6">
      <c r="B153" t="s">
        <v>33</v>
      </c>
      <c r="C153">
        <f t="shared" si="5"/>
        <v>2400</v>
      </c>
    </row>
    <row r="154" spans="2:6">
      <c r="B154" t="s">
        <v>35</v>
      </c>
      <c r="C154">
        <f t="shared" si="5"/>
        <v>3500</v>
      </c>
    </row>
    <row r="155" spans="2:6">
      <c r="B155" t="s">
        <v>30</v>
      </c>
      <c r="C155">
        <f t="shared" si="5"/>
        <v>3000</v>
      </c>
    </row>
    <row r="156" spans="2:6">
      <c r="B156" t="s">
        <v>33</v>
      </c>
      <c r="C156">
        <f t="shared" si="5"/>
        <v>12000</v>
      </c>
    </row>
    <row r="157" spans="2:6">
      <c r="B157" t="s">
        <v>35</v>
      </c>
      <c r="C157">
        <f t="shared" si="5"/>
        <v>120000</v>
      </c>
    </row>
    <row r="158" spans="2:6">
      <c r="B158" t="s">
        <v>30</v>
      </c>
      <c r="C158">
        <f t="shared" si="5"/>
        <v>150000</v>
      </c>
    </row>
    <row r="159" spans="2:6">
      <c r="B159" t="s">
        <v>38</v>
      </c>
      <c r="C159">
        <f t="shared" si="5"/>
        <v>80000</v>
      </c>
    </row>
    <row r="160" spans="2:6">
      <c r="B160" t="s">
        <v>38</v>
      </c>
      <c r="C160">
        <f t="shared" si="5"/>
        <v>1200</v>
      </c>
    </row>
    <row r="161" spans="2:3">
      <c r="B161" t="s">
        <v>33</v>
      </c>
      <c r="C161">
        <f t="shared" si="5"/>
        <v>4000</v>
      </c>
    </row>
    <row r="162" spans="2:3">
      <c r="B162" t="s">
        <v>33</v>
      </c>
      <c r="C162">
        <f t="shared" si="5"/>
        <v>9000</v>
      </c>
    </row>
    <row r="163" spans="2:3">
      <c r="B163" t="s">
        <v>35</v>
      </c>
      <c r="C163">
        <f t="shared" si="5"/>
        <v>20000</v>
      </c>
    </row>
    <row r="164" spans="2:3">
      <c r="B164" t="s">
        <v>30</v>
      </c>
      <c r="C164">
        <f t="shared" si="5"/>
        <v>300</v>
      </c>
    </row>
    <row r="165" spans="2:3">
      <c r="B165" t="s">
        <v>35</v>
      </c>
      <c r="C165">
        <f t="shared" si="5"/>
        <v>4000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2026-06-08T08:44:08Z</dcterms:created>
  <dcterms:modified xsi:type="dcterms:W3CDTF">2026-06-08T15:37:20Z</dcterms:modified>
  <cp:category/>
  <cp:contentStatus/>
</cp:coreProperties>
</file>